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ier.alonsov\Documents\Curso25_26\Investigacion\UB\Innovacio2025\results\pool2025_26\"/>
    </mc:Choice>
  </mc:AlternateContent>
  <xr:revisionPtr revIDLastSave="0" documentId="13_ncr:1_{A09F6E82-CB27-49E5-BB0B-8EBA2332E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chart.v1.0" hidden="1">Sheet1!$A$25</definedName>
    <definedName name="_xlchart.v1.1" hidden="1">Sheet1!$A$26</definedName>
    <definedName name="_xlchart.v1.10" hidden="1">Sheet1!$B$27:$T$27</definedName>
    <definedName name="_xlchart.v1.11" hidden="1">Sheet1!$B$27:$T$27</definedName>
    <definedName name="_xlchart.v1.12" hidden="1">Sheet1!$B$18:$T$18</definedName>
    <definedName name="_xlchart.v1.2" hidden="1">Sheet1!$A$27</definedName>
    <definedName name="_xlchart.v1.3" hidden="1">Sheet1!$B$1:$W$24</definedName>
    <definedName name="_xlchart.v1.4" hidden="1">Sheet1!$B$25:$W$25</definedName>
    <definedName name="_xlchart.v1.5" hidden="1">Sheet1!$B$26:$W$26</definedName>
    <definedName name="_xlchart.v1.6" hidden="1">Sheet1!$B$27:$W$27</definedName>
    <definedName name="_xlchart.v1.7" hidden="1">Sheet1!$B$12:$T$12</definedName>
    <definedName name="_xlchart.v1.8" hidden="1">Sheet1!$B$6:$T$6</definedName>
    <definedName name="_xlchart.v1.9" hidden="1">Sheet1!$B$23:$T$23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B27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B23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B18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B12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B6" i="1"/>
  <c r="W26" i="1"/>
  <c r="W25" i="1"/>
  <c r="V26" i="1"/>
  <c r="V25" i="1"/>
  <c r="U26" i="1"/>
  <c r="U25" i="1"/>
  <c r="W21" i="1"/>
  <c r="W22" i="1"/>
  <c r="W20" i="1"/>
  <c r="V21" i="1"/>
  <c r="V22" i="1"/>
  <c r="V20" i="1"/>
  <c r="U21" i="1"/>
  <c r="U22" i="1"/>
  <c r="U20" i="1"/>
  <c r="W15" i="1"/>
  <c r="W16" i="1"/>
  <c r="W17" i="1"/>
  <c r="W14" i="1"/>
  <c r="V15" i="1"/>
  <c r="V16" i="1"/>
  <c r="V17" i="1"/>
  <c r="V14" i="1"/>
  <c r="U15" i="1"/>
  <c r="U16" i="1"/>
  <c r="U17" i="1"/>
  <c r="U14" i="1"/>
  <c r="W11" i="1"/>
  <c r="W10" i="1"/>
  <c r="W9" i="1"/>
  <c r="W8" i="1"/>
  <c r="V11" i="1"/>
  <c r="V10" i="1"/>
  <c r="V9" i="1"/>
  <c r="V8" i="1"/>
  <c r="U11" i="1"/>
  <c r="U10" i="1"/>
  <c r="U9" i="1"/>
  <c r="U8" i="1"/>
  <c r="W5" i="1"/>
  <c r="W4" i="1"/>
  <c r="W3" i="1"/>
  <c r="W2" i="1"/>
  <c r="U5" i="1"/>
  <c r="U4" i="1"/>
  <c r="U3" i="1"/>
  <c r="U2" i="1"/>
  <c r="V5" i="1"/>
  <c r="V4" i="1"/>
  <c r="V3" i="1"/>
  <c r="V2" i="1"/>
</calcChain>
</file>

<file path=xl/sharedStrings.xml><?xml version="1.0" encoding="utf-8"?>
<sst xmlns="http://schemas.openxmlformats.org/spreadsheetml/2006/main" count="137" uniqueCount="46">
  <si>
    <t>Comprensión Conceptual</t>
  </si>
  <si>
    <t>Comprensión Obj.</t>
  </si>
  <si>
    <t>Diff demo coherente, TC, SC y
 Bucle de costas</t>
  </si>
  <si>
    <t>Progresión Facilita 
Comprension</t>
  </si>
  <si>
    <t>Explicar demodulación
coherente y no coherente</t>
  </si>
  <si>
    <t>Eval 1</t>
  </si>
  <si>
    <t>Eval 2</t>
  </si>
  <si>
    <t>Eval 3</t>
  </si>
  <si>
    <t>Eval 4</t>
  </si>
  <si>
    <t>Eval 5</t>
  </si>
  <si>
    <t>Eval 6</t>
  </si>
  <si>
    <t>Eval 7</t>
  </si>
  <si>
    <t>Eval 8</t>
  </si>
  <si>
    <t>Eval 9</t>
  </si>
  <si>
    <t>Eval 10</t>
  </si>
  <si>
    <t>Eval 11</t>
  </si>
  <si>
    <t>Eval 12</t>
  </si>
  <si>
    <t>Eval 13</t>
  </si>
  <si>
    <t>Eval 14</t>
  </si>
  <si>
    <t>Eval 15</t>
  </si>
  <si>
    <t>Eval 16</t>
  </si>
  <si>
    <t>Eval 17</t>
  </si>
  <si>
    <t>Eval 18</t>
  </si>
  <si>
    <t>Eval 19</t>
  </si>
  <si>
    <t>Práctica de domodulación 
no coherente clara</t>
  </si>
  <si>
    <t>La impl. Del PLL fue 
comprensible</t>
  </si>
  <si>
    <t>Costas Loop bien 
explicado</t>
  </si>
  <si>
    <t>Nivel de mates y TS 
asequible</t>
  </si>
  <si>
    <t>Contenido Técnico</t>
  </si>
  <si>
    <t>Herramientas RTL+MATLAB</t>
  </si>
  <si>
    <t>Uso de RTL-SRD ayudó a 
entender señales reales</t>
  </si>
  <si>
    <t>MATLAB facilitó la 
implementació de algortimos</t>
  </si>
  <si>
    <t>Entorno de trabajo estable</t>
  </si>
  <si>
    <t>Herramientas adecuadas para
los objs de las prácticas</t>
  </si>
  <si>
    <t>Aprendizaje Aplicado</t>
  </si>
  <si>
    <t>Media</t>
  </si>
  <si>
    <t>Mediana</t>
  </si>
  <si>
    <t>Moda</t>
  </si>
  <si>
    <t>Mejor comprensión sistemas
AM reales</t>
  </si>
  <si>
    <t>Mejora en procesado con 
Matlab</t>
  </si>
  <si>
    <t>Puedo relaciona contenidos
con Teoría de Coms.</t>
  </si>
  <si>
    <t>Evaluación Golbal</t>
  </si>
  <si>
    <t>Satisfecho</t>
  </si>
  <si>
    <t>Recomendaria</t>
  </si>
  <si>
    <t>Resultdos Sección</t>
  </si>
  <si>
    <t>Resultados Sección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</si>
</sst>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_xlchart.v1.8</cx:f>
      </cx:numDim>
    </cx:data>
  </cx:chartData>
  <cx:chart>
    <cx:title pos="t" align="ctr" overlay="0">
      <cx:tx>
        <cx:txData>
          <cx:v>Comprensión Conceptual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a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Comprensión Conceptual</a:t>
          </a:r>
        </a:p>
      </cx:txPr>
    </cx:title>
    <cx:plotArea>
      <cx:plotAreaRegion>
        <cx:series layoutId="clusteredColumn" uniqueId="{98138411-88D9-4FBD-9230-A2B91F62395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_xlchart.v1.7</cx:f>
      </cx:numDim>
    </cx:data>
  </cx:chartData>
  <cx:chart>
    <cx:title pos="t" align="ctr" overlay="0">
      <cx:tx>
        <cx:txData>
          <cx:v>Contenido Técnico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a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Contenido Técnico</a:t>
          </a:r>
        </a:p>
      </cx:txPr>
    </cx:title>
    <cx:plotArea>
      <cx:plotAreaRegion>
        <cx:series layoutId="clusteredColumn" uniqueId="{D45B8FC3-F0ED-4095-A8AC-24D44E8E759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_xlchart.v1.12</cx:f>
      </cx:numDim>
    </cx:data>
  </cx:chartData>
  <cx:chart>
    <cx:title pos="t" align="ctr" overlay="0">
      <cx:tx>
        <cx:txData>
          <cx:v>Herramientas SDR+Matlab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a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Herramientas SDR+Matlab</a:t>
          </a:r>
        </a:p>
      </cx:txPr>
    </cx:title>
    <cx:plotArea>
      <cx:plotAreaRegion>
        <cx:series layoutId="clusteredColumn" uniqueId="{0315B5E2-E24B-4C22-AF25-76BA429A397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>
      <cx:tx>
        <cx:txData>
          <cx:v>Aprendizaje Aplicado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a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Aprendizaje Aplicado</a:t>
          </a:r>
        </a:p>
      </cx:txPr>
    </cx:title>
    <cx:plotArea>
      <cx:plotAreaRegion>
        <cx:series layoutId="clusteredColumn" uniqueId="{07820FD7-2055-4386-9377-70CC0C07261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_xlchart.v1.10</cx:f>
      </cx:numDim>
    </cx:data>
  </cx:chartData>
  <cx:chart>
    <cx:title pos="t" align="ctr" overlay="0">
      <cx:tx>
        <cx:txData>
          <cx:v>Evaluación Global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a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Evaluación Global</a:t>
          </a:r>
        </a:p>
      </cx:txPr>
    </cx:title>
    <cx:plotArea>
      <cx:plotAreaRegion>
        <cx:series layoutId="clusteredColumn" uniqueId="{C4054F8A-051A-44EB-A094-06EF0FF34F0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84304</xdr:colOff>
      <xdr:row>0</xdr:row>
      <xdr:rowOff>0</xdr:rowOff>
    </xdr:from>
    <xdr:to>
      <xdr:col>30</xdr:col>
      <xdr:colOff>370054</xdr:colOff>
      <xdr:row>6</xdr:row>
      <xdr:rowOff>6153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àfic 2">
              <a:extLst>
                <a:ext uri="{FF2B5EF4-FFF2-40B4-BE49-F238E27FC236}">
                  <a16:creationId xmlns:a16="http://schemas.microsoft.com/office/drawing/2014/main" id="{00A03660-063F-4B8C-A7F5-A36DA31225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7434" y="0"/>
              <a:ext cx="4576142" cy="1911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 gràfic no està disponible en la vostra versió del Excel.
 Si editeu aquesta forma o deseu aquesta llibreta en un format de fitxer diferent, el gràfic quedarà malmès permanentment.</a:t>
              </a:r>
            </a:p>
          </xdr:txBody>
        </xdr:sp>
      </mc:Fallback>
    </mc:AlternateContent>
    <xdr:clientData/>
  </xdr:twoCellAnchor>
  <xdr:twoCellAnchor>
    <xdr:from>
      <xdr:col>23</xdr:col>
      <xdr:colOff>52970</xdr:colOff>
      <xdr:row>6</xdr:row>
      <xdr:rowOff>24550</xdr:rowOff>
    </xdr:from>
    <xdr:to>
      <xdr:col>30</xdr:col>
      <xdr:colOff>358587</xdr:colOff>
      <xdr:row>11</xdr:row>
      <xdr:rowOff>168088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àfic 3">
              <a:extLst>
                <a:ext uri="{FF2B5EF4-FFF2-40B4-BE49-F238E27FC236}">
                  <a16:creationId xmlns:a16="http://schemas.microsoft.com/office/drawing/2014/main" id="{A2D88F97-C3C0-4F07-8F7E-E181E96A38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58499" y="1929550"/>
              <a:ext cx="4541441" cy="1858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 gràfic no està disponible en la vostra versió del Excel.
 Si editeu aquesta forma o deseu aquesta llibreta en un format de fitxer diferent, el gràfic quedarà malmès permanentment.</a:t>
              </a:r>
            </a:p>
          </xdr:txBody>
        </xdr:sp>
      </mc:Fallback>
    </mc:AlternateContent>
    <xdr:clientData/>
  </xdr:twoCellAnchor>
  <xdr:twoCellAnchor>
    <xdr:from>
      <xdr:col>23</xdr:col>
      <xdr:colOff>61632</xdr:colOff>
      <xdr:row>11</xdr:row>
      <xdr:rowOff>147597</xdr:rowOff>
    </xdr:from>
    <xdr:to>
      <xdr:col>30</xdr:col>
      <xdr:colOff>367393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àfic 4">
              <a:extLst>
                <a:ext uri="{FF2B5EF4-FFF2-40B4-BE49-F238E27FC236}">
                  <a16:creationId xmlns:a16="http://schemas.microsoft.com/office/drawing/2014/main" id="{A468C60C-3747-4D63-B835-A67E22B1C4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28846" y="3767097"/>
              <a:ext cx="4592011" cy="21384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 gràfic no està disponible en la vostra versió del Excel.
 Si editeu aquesta forma o deseu aquesta llibreta en un format de fitxer diferent, el gràfic quedarà malmès permanentment.</a:t>
              </a:r>
            </a:p>
          </xdr:txBody>
        </xdr:sp>
      </mc:Fallback>
    </mc:AlternateContent>
    <xdr:clientData/>
  </xdr:twoCellAnchor>
  <xdr:twoCellAnchor>
    <xdr:from>
      <xdr:col>23</xdr:col>
      <xdr:colOff>13606</xdr:colOff>
      <xdr:row>18</xdr:row>
      <xdr:rowOff>16328</xdr:rowOff>
    </xdr:from>
    <xdr:to>
      <xdr:col>30</xdr:col>
      <xdr:colOff>353785</xdr:colOff>
      <xdr:row>23</xdr:row>
      <xdr:rowOff>68036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àfic 5">
              <a:extLst>
                <a:ext uri="{FF2B5EF4-FFF2-40B4-BE49-F238E27FC236}">
                  <a16:creationId xmlns:a16="http://schemas.microsoft.com/office/drawing/2014/main" id="{73BA1FAC-8E27-487D-99FA-DDE0DF4674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80820" y="5921828"/>
              <a:ext cx="4626429" cy="1766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 gràfic no està disponible en la vostra versió del Excel.
 Si editeu aquesta forma o deseu aquesta llibreta en un format de fitxer diferent, el gràfic quedarà malmès permanentment.</a:t>
              </a:r>
            </a:p>
          </xdr:txBody>
        </xdr:sp>
      </mc:Fallback>
    </mc:AlternateContent>
    <xdr:clientData/>
  </xdr:twoCellAnchor>
  <xdr:twoCellAnchor>
    <xdr:from>
      <xdr:col>23</xdr:col>
      <xdr:colOff>54429</xdr:colOff>
      <xdr:row>23</xdr:row>
      <xdr:rowOff>43542</xdr:rowOff>
    </xdr:from>
    <xdr:to>
      <xdr:col>30</xdr:col>
      <xdr:colOff>340179</xdr:colOff>
      <xdr:row>37</xdr:row>
      <xdr:rowOff>119742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àfic 6">
              <a:extLst>
                <a:ext uri="{FF2B5EF4-FFF2-40B4-BE49-F238E27FC236}">
                  <a16:creationId xmlns:a16="http://schemas.microsoft.com/office/drawing/2014/main" id="{D01AD62C-1B84-408E-ACCB-F2396F0C4D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21643" y="766354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 gràfic no està disponible en la vostra versió del Excel.
 Si editeu aquesta forma o deseu aquesta llibreta en un format de fitxer diferent, el gràfic quedarà malmès permanentment.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zoomScale="70" zoomScaleNormal="70" workbookViewId="0">
      <selection activeCell="AF28" sqref="AF28"/>
    </sheetView>
  </sheetViews>
  <sheetFormatPr defaultRowHeight="15" x14ac:dyDescent="0.25"/>
  <cols>
    <col min="1" max="1" width="26.85546875" customWidth="1"/>
  </cols>
  <sheetData>
    <row r="1" spans="1:23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35</v>
      </c>
      <c r="V1" s="1" t="s">
        <v>36</v>
      </c>
      <c r="W1" s="1" t="s">
        <v>37</v>
      </c>
    </row>
    <row r="2" spans="1:23" x14ac:dyDescent="0.25">
      <c r="A2" t="s">
        <v>1</v>
      </c>
      <c r="B2">
        <v>3</v>
      </c>
      <c r="C2">
        <v>4</v>
      </c>
      <c r="D2">
        <v>4</v>
      </c>
      <c r="E2">
        <v>3</v>
      </c>
      <c r="F2">
        <v>4</v>
      </c>
      <c r="G2">
        <v>5</v>
      </c>
      <c r="H2">
        <v>3</v>
      </c>
      <c r="I2">
        <v>4</v>
      </c>
      <c r="J2">
        <v>3</v>
      </c>
      <c r="K2">
        <v>3</v>
      </c>
      <c r="L2">
        <v>4</v>
      </c>
      <c r="M2">
        <v>4</v>
      </c>
      <c r="N2">
        <v>3</v>
      </c>
      <c r="O2">
        <v>4</v>
      </c>
      <c r="P2">
        <v>5</v>
      </c>
      <c r="Q2">
        <v>4</v>
      </c>
      <c r="R2">
        <v>3</v>
      </c>
      <c r="S2">
        <v>3</v>
      </c>
      <c r="T2">
        <v>3</v>
      </c>
      <c r="U2">
        <f>SUM(B2:T2)/19</f>
        <v>3.6315789473684212</v>
      </c>
      <c r="V2">
        <f>MEDIAN(B2:T2)</f>
        <v>4</v>
      </c>
      <c r="W2">
        <f>_xlfn.MODE.SNGL(B2:T2)</f>
        <v>3</v>
      </c>
    </row>
    <row r="3" spans="1:23" ht="45" x14ac:dyDescent="0.25">
      <c r="A3" s="2" t="s">
        <v>2</v>
      </c>
      <c r="B3">
        <v>5</v>
      </c>
      <c r="C3">
        <v>5</v>
      </c>
      <c r="D3">
        <v>4</v>
      </c>
      <c r="E3">
        <v>4</v>
      </c>
      <c r="F3">
        <v>5</v>
      </c>
      <c r="G3">
        <v>4</v>
      </c>
      <c r="H3">
        <v>4</v>
      </c>
      <c r="I3">
        <v>4</v>
      </c>
      <c r="J3">
        <v>2</v>
      </c>
      <c r="K3">
        <v>4</v>
      </c>
      <c r="L3">
        <v>4</v>
      </c>
      <c r="M3">
        <v>3</v>
      </c>
      <c r="N3">
        <v>3</v>
      </c>
      <c r="O3">
        <v>4</v>
      </c>
      <c r="P3">
        <v>3</v>
      </c>
      <c r="Q3">
        <v>2</v>
      </c>
      <c r="R3">
        <v>4</v>
      </c>
      <c r="S3">
        <v>3</v>
      </c>
      <c r="T3">
        <v>4</v>
      </c>
      <c r="U3">
        <f>SUM(B3:T3)/19</f>
        <v>3.736842105263158</v>
      </c>
      <c r="V3">
        <f>MEDIAN(B3:T3)</f>
        <v>4</v>
      </c>
      <c r="W3">
        <f>_xlfn.MODE.SNGL(B3:T3)</f>
        <v>4</v>
      </c>
    </row>
    <row r="4" spans="1:23" ht="30" x14ac:dyDescent="0.25">
      <c r="A4" s="2" t="s">
        <v>3</v>
      </c>
      <c r="B4">
        <v>3</v>
      </c>
      <c r="C4">
        <v>3</v>
      </c>
      <c r="D4">
        <v>5</v>
      </c>
      <c r="E4">
        <v>5</v>
      </c>
      <c r="F4">
        <v>4</v>
      </c>
      <c r="G4">
        <v>4</v>
      </c>
      <c r="H4">
        <v>5</v>
      </c>
      <c r="I4">
        <v>2</v>
      </c>
      <c r="J4">
        <v>1</v>
      </c>
      <c r="K4">
        <v>4</v>
      </c>
      <c r="L4">
        <v>3</v>
      </c>
      <c r="M4">
        <v>5</v>
      </c>
      <c r="N4">
        <v>2</v>
      </c>
      <c r="O4">
        <v>2</v>
      </c>
      <c r="P4">
        <v>4</v>
      </c>
      <c r="Q4">
        <v>3</v>
      </c>
      <c r="R4">
        <v>5</v>
      </c>
      <c r="S4">
        <v>2</v>
      </c>
      <c r="T4">
        <v>4</v>
      </c>
      <c r="U4">
        <f>SUM(B4:T4)/19</f>
        <v>3.4736842105263159</v>
      </c>
      <c r="V4">
        <f>MEDIAN(B4:T4)</f>
        <v>4</v>
      </c>
      <c r="W4">
        <f>_xlfn.MODE.SNGL(B4:T4)</f>
        <v>5</v>
      </c>
    </row>
    <row r="5" spans="1:23" ht="30" x14ac:dyDescent="0.25">
      <c r="A5" s="2" t="s">
        <v>4</v>
      </c>
      <c r="B5">
        <v>5</v>
      </c>
      <c r="C5">
        <v>3</v>
      </c>
      <c r="D5">
        <v>3</v>
      </c>
      <c r="E5">
        <v>3</v>
      </c>
      <c r="F5">
        <v>5</v>
      </c>
      <c r="G5">
        <v>5</v>
      </c>
      <c r="H5">
        <v>5</v>
      </c>
      <c r="I5">
        <v>3</v>
      </c>
      <c r="J5">
        <v>3</v>
      </c>
      <c r="K5">
        <v>3</v>
      </c>
      <c r="L5">
        <v>3</v>
      </c>
      <c r="M5">
        <v>5</v>
      </c>
      <c r="N5">
        <v>3</v>
      </c>
      <c r="O5">
        <v>4</v>
      </c>
      <c r="P5">
        <v>4</v>
      </c>
      <c r="Q5">
        <v>4</v>
      </c>
      <c r="R5">
        <v>2</v>
      </c>
      <c r="S5">
        <v>2</v>
      </c>
      <c r="T5">
        <v>3</v>
      </c>
      <c r="U5">
        <f>SUM(B5:T5)/19</f>
        <v>3.5789473684210527</v>
      </c>
      <c r="V5">
        <f>MEDIAN(B5:T5)</f>
        <v>3</v>
      </c>
      <c r="W5">
        <f>_xlfn.MODE.SNGL(B5:T5)</f>
        <v>3</v>
      </c>
    </row>
    <row r="6" spans="1:23" x14ac:dyDescent="0.25">
      <c r="A6" s="2" t="s">
        <v>44</v>
      </c>
      <c r="B6">
        <f>MEDIAN(B2:B5)</f>
        <v>4</v>
      </c>
      <c r="C6">
        <f t="shared" ref="C6:T6" si="0">MEDIAN(C2:C5)</f>
        <v>3.5</v>
      </c>
      <c r="D6">
        <f t="shared" si="0"/>
        <v>4</v>
      </c>
      <c r="E6">
        <f t="shared" si="0"/>
        <v>3.5</v>
      </c>
      <c r="F6">
        <f t="shared" si="0"/>
        <v>4.5</v>
      </c>
      <c r="G6">
        <f t="shared" si="0"/>
        <v>4.5</v>
      </c>
      <c r="H6">
        <f t="shared" si="0"/>
        <v>4.5</v>
      </c>
      <c r="I6">
        <f t="shared" si="0"/>
        <v>3.5</v>
      </c>
      <c r="J6">
        <f t="shared" si="0"/>
        <v>2.5</v>
      </c>
      <c r="K6">
        <f t="shared" si="0"/>
        <v>3.5</v>
      </c>
      <c r="L6">
        <f t="shared" si="0"/>
        <v>3.5</v>
      </c>
      <c r="M6">
        <f t="shared" si="0"/>
        <v>4.5</v>
      </c>
      <c r="N6">
        <f t="shared" si="0"/>
        <v>3</v>
      </c>
      <c r="O6">
        <f t="shared" si="0"/>
        <v>4</v>
      </c>
      <c r="P6">
        <f t="shared" si="0"/>
        <v>4</v>
      </c>
      <c r="Q6">
        <f t="shared" si="0"/>
        <v>3.5</v>
      </c>
      <c r="R6">
        <f t="shared" si="0"/>
        <v>3.5</v>
      </c>
      <c r="S6">
        <f t="shared" si="0"/>
        <v>2.5</v>
      </c>
      <c r="T6">
        <f t="shared" si="0"/>
        <v>3.5</v>
      </c>
    </row>
    <row r="7" spans="1:23" x14ac:dyDescent="0.25">
      <c r="A7" s="3" t="s">
        <v>28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s="3" t="s">
        <v>20</v>
      </c>
      <c r="R7" s="3" t="s">
        <v>21</v>
      </c>
      <c r="S7" s="3" t="s">
        <v>22</v>
      </c>
      <c r="T7" s="3" t="s">
        <v>23</v>
      </c>
      <c r="U7" s="3" t="s">
        <v>35</v>
      </c>
      <c r="V7" s="3" t="s">
        <v>36</v>
      </c>
      <c r="W7" s="3" t="s">
        <v>37</v>
      </c>
    </row>
    <row r="8" spans="1:23" ht="30" x14ac:dyDescent="0.25">
      <c r="A8" s="2" t="s">
        <v>24</v>
      </c>
      <c r="B8">
        <v>1</v>
      </c>
      <c r="C8">
        <v>4</v>
      </c>
      <c r="D8">
        <v>3</v>
      </c>
      <c r="E8">
        <v>4</v>
      </c>
      <c r="F8">
        <v>4</v>
      </c>
      <c r="G8">
        <v>4</v>
      </c>
      <c r="H8">
        <v>3</v>
      </c>
      <c r="I8">
        <v>2</v>
      </c>
      <c r="J8">
        <v>1</v>
      </c>
      <c r="K8">
        <v>4</v>
      </c>
      <c r="L8">
        <v>4</v>
      </c>
      <c r="M8">
        <v>0</v>
      </c>
      <c r="N8">
        <v>3</v>
      </c>
      <c r="O8">
        <v>3</v>
      </c>
      <c r="P8">
        <v>2</v>
      </c>
      <c r="Q8">
        <v>3</v>
      </c>
      <c r="R8">
        <v>3</v>
      </c>
      <c r="S8">
        <v>3</v>
      </c>
      <c r="T8">
        <v>4</v>
      </c>
      <c r="U8">
        <f>SUM(B8:T8)/19</f>
        <v>2.8947368421052633</v>
      </c>
      <c r="V8">
        <f>MEDIAN(B8:T8)</f>
        <v>3</v>
      </c>
      <c r="W8">
        <f>_xlfn.MODE.SNGL(B8:T8)</f>
        <v>4</v>
      </c>
    </row>
    <row r="9" spans="1:23" ht="30" x14ac:dyDescent="0.25">
      <c r="A9" s="2" t="s">
        <v>25</v>
      </c>
      <c r="B9">
        <v>5</v>
      </c>
      <c r="C9">
        <v>2</v>
      </c>
      <c r="D9">
        <v>3</v>
      </c>
      <c r="E9">
        <v>5</v>
      </c>
      <c r="F9">
        <v>4</v>
      </c>
      <c r="G9">
        <v>4</v>
      </c>
      <c r="H9">
        <v>3</v>
      </c>
      <c r="I9">
        <v>2</v>
      </c>
      <c r="J9">
        <v>1</v>
      </c>
      <c r="K9">
        <v>4</v>
      </c>
      <c r="L9">
        <v>4</v>
      </c>
      <c r="M9">
        <v>5</v>
      </c>
      <c r="N9">
        <v>4</v>
      </c>
      <c r="O9">
        <v>5</v>
      </c>
      <c r="P9">
        <v>2</v>
      </c>
      <c r="Q9">
        <v>4</v>
      </c>
      <c r="R9">
        <v>4</v>
      </c>
      <c r="S9">
        <v>4</v>
      </c>
      <c r="T9">
        <v>3</v>
      </c>
      <c r="U9">
        <f>SUM(B9:T9)/19</f>
        <v>3.5789473684210527</v>
      </c>
      <c r="V9">
        <f>MEDIAN(B9:T9)</f>
        <v>4</v>
      </c>
      <c r="W9">
        <f>_xlfn.MODE.SNGL(B9:T9)</f>
        <v>4</v>
      </c>
    </row>
    <row r="10" spans="1:23" ht="30" x14ac:dyDescent="0.25">
      <c r="A10" s="2" t="s">
        <v>26</v>
      </c>
      <c r="B10">
        <v>2</v>
      </c>
      <c r="C10">
        <v>3</v>
      </c>
      <c r="D10">
        <v>3</v>
      </c>
      <c r="E10">
        <v>3</v>
      </c>
      <c r="F10">
        <v>4</v>
      </c>
      <c r="G10">
        <v>3</v>
      </c>
      <c r="H10">
        <v>4</v>
      </c>
      <c r="I10">
        <v>2</v>
      </c>
      <c r="J10">
        <v>1</v>
      </c>
      <c r="K10">
        <v>4</v>
      </c>
      <c r="L10">
        <v>5</v>
      </c>
      <c r="M10">
        <v>4</v>
      </c>
      <c r="N10">
        <v>2</v>
      </c>
      <c r="O10">
        <v>4</v>
      </c>
      <c r="P10">
        <v>3</v>
      </c>
      <c r="Q10">
        <v>2</v>
      </c>
      <c r="R10">
        <v>3</v>
      </c>
      <c r="S10">
        <v>4</v>
      </c>
      <c r="T10">
        <v>2</v>
      </c>
      <c r="U10">
        <f>SUM(B10:T10)/19</f>
        <v>3.0526315789473686</v>
      </c>
      <c r="V10">
        <f>MEDIAN(B10:T10)</f>
        <v>3</v>
      </c>
      <c r="W10">
        <f>_xlfn.MODE.SNGL(B10:T10)</f>
        <v>3</v>
      </c>
    </row>
    <row r="11" spans="1:23" ht="30" x14ac:dyDescent="0.25">
      <c r="A11" s="2" t="s">
        <v>27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4</v>
      </c>
      <c r="J11">
        <v>1</v>
      </c>
      <c r="K11">
        <v>5</v>
      </c>
      <c r="L11">
        <v>3</v>
      </c>
      <c r="M11">
        <v>0</v>
      </c>
      <c r="N11">
        <v>3</v>
      </c>
      <c r="O11">
        <v>4</v>
      </c>
      <c r="P11">
        <v>5</v>
      </c>
      <c r="Q11">
        <v>5</v>
      </c>
      <c r="R11">
        <v>5</v>
      </c>
      <c r="S11">
        <v>1</v>
      </c>
      <c r="T11">
        <v>5</v>
      </c>
      <c r="U11">
        <f>SUM(B11:T11)/19</f>
        <v>4</v>
      </c>
      <c r="V11">
        <f>MEDIAN(B11:T11)</f>
        <v>5</v>
      </c>
      <c r="W11">
        <f>_xlfn.MODE.SNGL(B11:T11)</f>
        <v>5</v>
      </c>
    </row>
    <row r="12" spans="1:23" x14ac:dyDescent="0.25">
      <c r="A12" s="2" t="s">
        <v>44</v>
      </c>
      <c r="B12">
        <f>MEDIAN(B8:B11)</f>
        <v>3.5</v>
      </c>
      <c r="C12">
        <f t="shared" ref="C12:T12" si="1">MEDIAN(C8:C11)</f>
        <v>3.5</v>
      </c>
      <c r="D12">
        <f t="shared" si="1"/>
        <v>3</v>
      </c>
      <c r="E12">
        <f t="shared" si="1"/>
        <v>4.5</v>
      </c>
      <c r="F12">
        <f t="shared" si="1"/>
        <v>4</v>
      </c>
      <c r="G12">
        <f t="shared" si="1"/>
        <v>4</v>
      </c>
      <c r="H12">
        <f t="shared" si="1"/>
        <v>3.5</v>
      </c>
      <c r="I12">
        <f t="shared" si="1"/>
        <v>2</v>
      </c>
      <c r="J12">
        <f t="shared" si="1"/>
        <v>1</v>
      </c>
      <c r="K12">
        <f t="shared" si="1"/>
        <v>4</v>
      </c>
      <c r="L12">
        <f t="shared" si="1"/>
        <v>4</v>
      </c>
      <c r="M12">
        <f t="shared" si="1"/>
        <v>2</v>
      </c>
      <c r="N12">
        <f t="shared" si="1"/>
        <v>3</v>
      </c>
      <c r="O12">
        <f t="shared" si="1"/>
        <v>4</v>
      </c>
      <c r="P12">
        <f t="shared" si="1"/>
        <v>2.5</v>
      </c>
      <c r="Q12">
        <f t="shared" si="1"/>
        <v>3.5</v>
      </c>
      <c r="R12">
        <f t="shared" si="1"/>
        <v>3.5</v>
      </c>
      <c r="S12">
        <f t="shared" si="1"/>
        <v>3.5</v>
      </c>
      <c r="T12">
        <f t="shared" si="1"/>
        <v>3.5</v>
      </c>
    </row>
    <row r="13" spans="1:23" x14ac:dyDescent="0.25">
      <c r="A13" s="4" t="s">
        <v>29</v>
      </c>
      <c r="B13" s="4" t="s">
        <v>5</v>
      </c>
      <c r="C13" s="4" t="s">
        <v>6</v>
      </c>
      <c r="D13" s="4" t="s">
        <v>7</v>
      </c>
      <c r="E13" s="4" t="s">
        <v>8</v>
      </c>
      <c r="F13" s="4" t="s">
        <v>9</v>
      </c>
      <c r="G13" s="4" t="s">
        <v>10</v>
      </c>
      <c r="H13" s="4" t="s">
        <v>11</v>
      </c>
      <c r="I13" s="4" t="s">
        <v>12</v>
      </c>
      <c r="J13" s="4" t="s">
        <v>13</v>
      </c>
      <c r="K13" s="4" t="s">
        <v>14</v>
      </c>
      <c r="L13" s="4" t="s">
        <v>15</v>
      </c>
      <c r="M13" s="4" t="s">
        <v>16</v>
      </c>
      <c r="N13" s="4" t="s">
        <v>17</v>
      </c>
      <c r="O13" s="4" t="s">
        <v>18</v>
      </c>
      <c r="P13" s="4" t="s">
        <v>19</v>
      </c>
      <c r="Q13" s="4" t="s">
        <v>20</v>
      </c>
      <c r="R13" s="4" t="s">
        <v>21</v>
      </c>
      <c r="S13" s="4" t="s">
        <v>22</v>
      </c>
      <c r="T13" s="4" t="s">
        <v>23</v>
      </c>
      <c r="U13" s="4" t="s">
        <v>35</v>
      </c>
      <c r="V13" s="4" t="s">
        <v>36</v>
      </c>
      <c r="W13" s="4" t="s">
        <v>37</v>
      </c>
    </row>
    <row r="14" spans="1:23" ht="30" x14ac:dyDescent="0.25">
      <c r="A14" s="2" t="s">
        <v>30</v>
      </c>
      <c r="B14">
        <v>4</v>
      </c>
      <c r="C14">
        <v>1</v>
      </c>
      <c r="D14">
        <v>4</v>
      </c>
      <c r="E14">
        <v>5</v>
      </c>
      <c r="F14">
        <v>4</v>
      </c>
      <c r="G14">
        <v>3</v>
      </c>
      <c r="H14">
        <v>4</v>
      </c>
      <c r="I14">
        <v>4</v>
      </c>
      <c r="J14">
        <v>4</v>
      </c>
      <c r="K14">
        <v>3</v>
      </c>
      <c r="L14">
        <v>4</v>
      </c>
      <c r="M14">
        <v>5</v>
      </c>
      <c r="N14">
        <v>4</v>
      </c>
      <c r="O14">
        <v>2</v>
      </c>
      <c r="P14">
        <v>5</v>
      </c>
      <c r="Q14">
        <v>5</v>
      </c>
      <c r="R14">
        <v>5</v>
      </c>
      <c r="S14">
        <v>3</v>
      </c>
      <c r="T14">
        <v>4</v>
      </c>
      <c r="U14">
        <f>SUM(B14:T14)/19</f>
        <v>3.8421052631578947</v>
      </c>
      <c r="V14">
        <f>MEDIAN(B14:T14)</f>
        <v>4</v>
      </c>
      <c r="W14">
        <f>_xlfn.MODE.SNGL(B14:T14)</f>
        <v>4</v>
      </c>
    </row>
    <row r="15" spans="1:23" ht="45" x14ac:dyDescent="0.25">
      <c r="A15" s="2" t="s">
        <v>31</v>
      </c>
      <c r="B15">
        <v>5</v>
      </c>
      <c r="C15">
        <v>2</v>
      </c>
      <c r="D15">
        <v>4</v>
      </c>
      <c r="E15">
        <v>5</v>
      </c>
      <c r="F15">
        <v>5</v>
      </c>
      <c r="G15">
        <v>4</v>
      </c>
      <c r="H15">
        <v>5</v>
      </c>
      <c r="I15">
        <v>3</v>
      </c>
      <c r="J15">
        <v>4</v>
      </c>
      <c r="K15">
        <v>4</v>
      </c>
      <c r="L15">
        <v>5</v>
      </c>
      <c r="M15">
        <v>5</v>
      </c>
      <c r="N15">
        <v>4</v>
      </c>
      <c r="O15">
        <v>3</v>
      </c>
      <c r="P15">
        <v>5</v>
      </c>
      <c r="Q15">
        <v>5</v>
      </c>
      <c r="R15">
        <v>4</v>
      </c>
      <c r="S15">
        <v>5</v>
      </c>
      <c r="T15">
        <v>4</v>
      </c>
      <c r="U15">
        <f t="shared" ref="U15:U17" si="2">SUM(B15:T15)/19</f>
        <v>4.2631578947368425</v>
      </c>
      <c r="V15">
        <f t="shared" ref="V15:V17" si="3">MEDIAN(B15:T15)</f>
        <v>4</v>
      </c>
      <c r="W15">
        <f t="shared" ref="W15:W17" si="4">_xlfn.MODE.SNGL(B15:T15)</f>
        <v>5</v>
      </c>
    </row>
    <row r="16" spans="1:23" x14ac:dyDescent="0.25">
      <c r="A16" s="2" t="s">
        <v>32</v>
      </c>
      <c r="B16">
        <v>2</v>
      </c>
      <c r="C16">
        <v>1</v>
      </c>
      <c r="D16">
        <v>3</v>
      </c>
      <c r="E16">
        <v>4</v>
      </c>
      <c r="F16">
        <v>3</v>
      </c>
      <c r="G16">
        <v>3</v>
      </c>
      <c r="H16">
        <v>2</v>
      </c>
      <c r="I16">
        <v>4</v>
      </c>
      <c r="J16">
        <v>1</v>
      </c>
      <c r="K16">
        <v>5</v>
      </c>
      <c r="L16">
        <v>2</v>
      </c>
      <c r="M16">
        <v>5</v>
      </c>
      <c r="N16">
        <v>2</v>
      </c>
      <c r="O16">
        <v>1</v>
      </c>
      <c r="P16">
        <v>3</v>
      </c>
      <c r="Q16">
        <v>5</v>
      </c>
      <c r="R16">
        <v>4</v>
      </c>
      <c r="S16">
        <v>3</v>
      </c>
      <c r="T16">
        <v>5</v>
      </c>
      <c r="U16">
        <f t="shared" si="2"/>
        <v>3.0526315789473686</v>
      </c>
      <c r="V16">
        <f t="shared" si="3"/>
        <v>3</v>
      </c>
      <c r="W16">
        <f t="shared" si="4"/>
        <v>3</v>
      </c>
    </row>
    <row r="17" spans="1:23" ht="45" x14ac:dyDescent="0.25">
      <c r="A17" s="2" t="s">
        <v>33</v>
      </c>
      <c r="B17">
        <v>4</v>
      </c>
      <c r="C17">
        <v>3</v>
      </c>
      <c r="D17">
        <v>5</v>
      </c>
      <c r="E17">
        <v>4</v>
      </c>
      <c r="F17">
        <v>4</v>
      </c>
      <c r="G17">
        <v>4</v>
      </c>
      <c r="H17">
        <v>5</v>
      </c>
      <c r="I17">
        <v>4</v>
      </c>
      <c r="J17">
        <v>4</v>
      </c>
      <c r="K17">
        <v>4</v>
      </c>
      <c r="L17">
        <v>2</v>
      </c>
      <c r="M17">
        <v>5</v>
      </c>
      <c r="N17">
        <v>4</v>
      </c>
      <c r="O17">
        <v>2</v>
      </c>
      <c r="P17">
        <v>5</v>
      </c>
      <c r="Q17">
        <v>5</v>
      </c>
      <c r="R17">
        <v>5</v>
      </c>
      <c r="S17">
        <v>5</v>
      </c>
      <c r="T17">
        <v>5</v>
      </c>
      <c r="U17">
        <f t="shared" si="2"/>
        <v>4.1578947368421053</v>
      </c>
      <c r="V17">
        <f t="shared" si="3"/>
        <v>4</v>
      </c>
      <c r="W17">
        <f t="shared" si="4"/>
        <v>4</v>
      </c>
    </row>
    <row r="18" spans="1:23" x14ac:dyDescent="0.25">
      <c r="A18" s="2" t="s">
        <v>45</v>
      </c>
      <c r="B18">
        <f>MEDIAN(B14:B17)</f>
        <v>4</v>
      </c>
      <c r="C18">
        <f t="shared" ref="C18:T18" si="5">MEDIAN(C14:C17)</f>
        <v>1.5</v>
      </c>
      <c r="D18">
        <f t="shared" si="5"/>
        <v>4</v>
      </c>
      <c r="E18">
        <f t="shared" si="5"/>
        <v>4.5</v>
      </c>
      <c r="F18">
        <f t="shared" si="5"/>
        <v>4</v>
      </c>
      <c r="G18">
        <f t="shared" si="5"/>
        <v>3.5</v>
      </c>
      <c r="H18">
        <f t="shared" si="5"/>
        <v>4.5</v>
      </c>
      <c r="I18">
        <f t="shared" si="5"/>
        <v>4</v>
      </c>
      <c r="J18">
        <f t="shared" si="5"/>
        <v>4</v>
      </c>
      <c r="K18">
        <f t="shared" si="5"/>
        <v>4</v>
      </c>
      <c r="L18">
        <f t="shared" si="5"/>
        <v>3</v>
      </c>
      <c r="M18">
        <f t="shared" si="5"/>
        <v>5</v>
      </c>
      <c r="N18">
        <f t="shared" si="5"/>
        <v>4</v>
      </c>
      <c r="O18">
        <f t="shared" si="5"/>
        <v>2</v>
      </c>
      <c r="P18">
        <f t="shared" si="5"/>
        <v>5</v>
      </c>
      <c r="Q18">
        <f t="shared" si="5"/>
        <v>5</v>
      </c>
      <c r="R18">
        <f t="shared" si="5"/>
        <v>4.5</v>
      </c>
      <c r="S18">
        <f t="shared" si="5"/>
        <v>4</v>
      </c>
      <c r="T18">
        <f t="shared" si="5"/>
        <v>4.5</v>
      </c>
    </row>
    <row r="19" spans="1:23" x14ac:dyDescent="0.25">
      <c r="A19" s="5" t="s">
        <v>34</v>
      </c>
      <c r="B19" s="5" t="s">
        <v>5</v>
      </c>
      <c r="C19" s="5" t="s">
        <v>6</v>
      </c>
      <c r="D19" s="5" t="s">
        <v>7</v>
      </c>
      <c r="E19" s="5" t="s">
        <v>8</v>
      </c>
      <c r="F19" s="5" t="s">
        <v>9</v>
      </c>
      <c r="G19" s="5" t="s">
        <v>10</v>
      </c>
      <c r="H19" s="5" t="s">
        <v>11</v>
      </c>
      <c r="I19" s="5" t="s">
        <v>12</v>
      </c>
      <c r="J19" s="5" t="s">
        <v>13</v>
      </c>
      <c r="K19" s="5" t="s">
        <v>14</v>
      </c>
      <c r="L19" s="5" t="s">
        <v>15</v>
      </c>
      <c r="M19" s="5" t="s">
        <v>16</v>
      </c>
      <c r="N19" s="5" t="s">
        <v>17</v>
      </c>
      <c r="O19" s="5" t="s">
        <v>18</v>
      </c>
      <c r="P19" s="5" t="s">
        <v>19</v>
      </c>
      <c r="Q19" s="5" t="s">
        <v>20</v>
      </c>
      <c r="R19" s="5" t="s">
        <v>21</v>
      </c>
      <c r="S19" s="5" t="s">
        <v>22</v>
      </c>
      <c r="T19" s="5" t="s">
        <v>23</v>
      </c>
      <c r="U19" s="5" t="s">
        <v>35</v>
      </c>
      <c r="V19" s="5" t="s">
        <v>36</v>
      </c>
      <c r="W19" s="5" t="s">
        <v>37</v>
      </c>
    </row>
    <row r="20" spans="1:23" ht="45" x14ac:dyDescent="0.25">
      <c r="A20" s="2" t="s">
        <v>38</v>
      </c>
      <c r="B20">
        <v>2</v>
      </c>
      <c r="C20">
        <v>4</v>
      </c>
      <c r="D20">
        <v>4</v>
      </c>
      <c r="E20">
        <v>3</v>
      </c>
      <c r="F20">
        <v>4</v>
      </c>
      <c r="G20">
        <v>4</v>
      </c>
      <c r="H20">
        <v>5</v>
      </c>
      <c r="I20">
        <v>4</v>
      </c>
      <c r="J20">
        <v>3</v>
      </c>
      <c r="K20">
        <v>4</v>
      </c>
      <c r="L20">
        <v>4</v>
      </c>
      <c r="M20">
        <v>5</v>
      </c>
      <c r="N20">
        <v>3</v>
      </c>
      <c r="O20">
        <v>3</v>
      </c>
      <c r="P20">
        <v>4</v>
      </c>
      <c r="Q20">
        <v>5</v>
      </c>
      <c r="R20">
        <v>4</v>
      </c>
      <c r="S20">
        <v>4</v>
      </c>
      <c r="T20">
        <v>3</v>
      </c>
      <c r="U20">
        <f>SUM(B20:T20)/19</f>
        <v>3.7894736842105261</v>
      </c>
      <c r="V20">
        <f>MEDIAN(B20:T20)</f>
        <v>4</v>
      </c>
      <c r="W20">
        <f>_xlfn.MODE.SNGL(B20:T20)</f>
        <v>4</v>
      </c>
    </row>
    <row r="21" spans="1:23" ht="30" x14ac:dyDescent="0.25">
      <c r="A21" s="2" t="s">
        <v>39</v>
      </c>
      <c r="B21">
        <v>5</v>
      </c>
      <c r="C21">
        <v>4</v>
      </c>
      <c r="D21">
        <v>3</v>
      </c>
      <c r="E21">
        <v>4</v>
      </c>
      <c r="F21">
        <v>4</v>
      </c>
      <c r="G21">
        <v>3</v>
      </c>
      <c r="H21">
        <v>3</v>
      </c>
      <c r="I21">
        <v>4</v>
      </c>
      <c r="J21">
        <v>3</v>
      </c>
      <c r="K21">
        <v>3</v>
      </c>
      <c r="L21">
        <v>2</v>
      </c>
      <c r="M21">
        <v>5</v>
      </c>
      <c r="N21">
        <v>4</v>
      </c>
      <c r="O21">
        <v>2</v>
      </c>
      <c r="P21">
        <v>4</v>
      </c>
      <c r="Q21">
        <v>5</v>
      </c>
      <c r="R21">
        <v>4</v>
      </c>
      <c r="S21">
        <v>5</v>
      </c>
      <c r="T21">
        <v>4</v>
      </c>
      <c r="U21">
        <f t="shared" ref="U21:U22" si="6">SUM(B21:T21)/19</f>
        <v>3.736842105263158</v>
      </c>
      <c r="V21">
        <f t="shared" ref="V21:V22" si="7">MEDIAN(B21:T21)</f>
        <v>4</v>
      </c>
      <c r="W21">
        <f t="shared" ref="W21:W22" si="8">_xlfn.MODE.SNGL(B21:T21)</f>
        <v>4</v>
      </c>
    </row>
    <row r="22" spans="1:23" ht="30" x14ac:dyDescent="0.25">
      <c r="A22" s="2" t="s">
        <v>40</v>
      </c>
      <c r="B22">
        <v>5</v>
      </c>
      <c r="C22">
        <v>5</v>
      </c>
      <c r="D22">
        <v>4</v>
      </c>
      <c r="E22">
        <v>4</v>
      </c>
      <c r="F22">
        <v>5</v>
      </c>
      <c r="G22">
        <v>5</v>
      </c>
      <c r="H22">
        <v>4</v>
      </c>
      <c r="I22">
        <v>4</v>
      </c>
      <c r="J22">
        <v>3</v>
      </c>
      <c r="K22">
        <v>3</v>
      </c>
      <c r="L22">
        <v>5</v>
      </c>
      <c r="M22">
        <v>5</v>
      </c>
      <c r="N22">
        <v>3</v>
      </c>
      <c r="O22">
        <v>4</v>
      </c>
      <c r="P22">
        <v>5</v>
      </c>
      <c r="Q22">
        <v>4</v>
      </c>
      <c r="R22">
        <v>4</v>
      </c>
      <c r="S22">
        <v>4</v>
      </c>
      <c r="T22">
        <v>3</v>
      </c>
      <c r="U22">
        <f t="shared" si="6"/>
        <v>4.1578947368421053</v>
      </c>
      <c r="V22">
        <f t="shared" si="7"/>
        <v>4</v>
      </c>
      <c r="W22">
        <f t="shared" si="8"/>
        <v>4</v>
      </c>
    </row>
    <row r="23" spans="1:23" x14ac:dyDescent="0.25">
      <c r="A23" s="2" t="s">
        <v>45</v>
      </c>
      <c r="B23">
        <f>MEDIAN(B20:B22)</f>
        <v>5</v>
      </c>
      <c r="C23">
        <f t="shared" ref="C23:T23" si="9">MEDIAN(C20:C22)</f>
        <v>4</v>
      </c>
      <c r="D23">
        <f t="shared" si="9"/>
        <v>4</v>
      </c>
      <c r="E23">
        <f t="shared" si="9"/>
        <v>4</v>
      </c>
      <c r="F23">
        <f t="shared" si="9"/>
        <v>4</v>
      </c>
      <c r="G23">
        <f t="shared" si="9"/>
        <v>4</v>
      </c>
      <c r="H23">
        <f t="shared" si="9"/>
        <v>4</v>
      </c>
      <c r="I23">
        <f t="shared" si="9"/>
        <v>4</v>
      </c>
      <c r="J23">
        <f t="shared" si="9"/>
        <v>3</v>
      </c>
      <c r="K23">
        <f t="shared" si="9"/>
        <v>3</v>
      </c>
      <c r="L23">
        <f t="shared" si="9"/>
        <v>4</v>
      </c>
      <c r="M23">
        <f t="shared" si="9"/>
        <v>5</v>
      </c>
      <c r="N23">
        <f t="shared" si="9"/>
        <v>3</v>
      </c>
      <c r="O23">
        <f t="shared" si="9"/>
        <v>3</v>
      </c>
      <c r="P23">
        <f t="shared" si="9"/>
        <v>4</v>
      </c>
      <c r="Q23">
        <f t="shared" si="9"/>
        <v>5</v>
      </c>
      <c r="R23">
        <f t="shared" si="9"/>
        <v>4</v>
      </c>
      <c r="S23">
        <f t="shared" si="9"/>
        <v>4</v>
      </c>
      <c r="T23">
        <f t="shared" si="9"/>
        <v>3</v>
      </c>
    </row>
    <row r="24" spans="1:23" x14ac:dyDescent="0.25">
      <c r="A24" s="6" t="s">
        <v>41</v>
      </c>
      <c r="B24" s="6" t="s">
        <v>5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  <c r="P24" s="6" t="s">
        <v>19</v>
      </c>
      <c r="Q24" s="6" t="s">
        <v>20</v>
      </c>
      <c r="R24" s="6" t="s">
        <v>21</v>
      </c>
      <c r="S24" s="6" t="s">
        <v>22</v>
      </c>
      <c r="T24" s="6" t="s">
        <v>23</v>
      </c>
      <c r="U24" s="6" t="s">
        <v>35</v>
      </c>
      <c r="V24" s="6" t="s">
        <v>36</v>
      </c>
      <c r="W24" s="6" t="s">
        <v>37</v>
      </c>
    </row>
    <row r="25" spans="1:23" x14ac:dyDescent="0.25">
      <c r="A25" s="2" t="s">
        <v>42</v>
      </c>
      <c r="B25">
        <v>2</v>
      </c>
      <c r="C25">
        <v>3</v>
      </c>
      <c r="D25">
        <v>3</v>
      </c>
      <c r="E25">
        <v>4</v>
      </c>
      <c r="F25">
        <v>4</v>
      </c>
      <c r="G25">
        <v>4</v>
      </c>
      <c r="H25">
        <v>5</v>
      </c>
      <c r="I25">
        <v>3</v>
      </c>
      <c r="J25">
        <v>1</v>
      </c>
      <c r="K25">
        <v>4</v>
      </c>
      <c r="L25">
        <v>5</v>
      </c>
      <c r="M25">
        <v>5</v>
      </c>
      <c r="N25">
        <v>3</v>
      </c>
      <c r="O25">
        <v>2</v>
      </c>
      <c r="P25">
        <v>5</v>
      </c>
      <c r="Q25">
        <v>5</v>
      </c>
      <c r="R25">
        <v>4</v>
      </c>
      <c r="S25">
        <v>3</v>
      </c>
      <c r="T25">
        <v>4</v>
      </c>
      <c r="U25">
        <f>SUM(B25:T25)/19</f>
        <v>3.6315789473684212</v>
      </c>
      <c r="V25">
        <f>MEDIAN(B25:T25)</f>
        <v>4</v>
      </c>
      <c r="W25">
        <f>_xlfn.MODE.SNGL(B25:T25)</f>
        <v>4</v>
      </c>
    </row>
    <row r="26" spans="1:23" x14ac:dyDescent="0.25">
      <c r="A26" s="2" t="s">
        <v>43</v>
      </c>
      <c r="B26">
        <v>3</v>
      </c>
      <c r="C26">
        <v>2</v>
      </c>
      <c r="D26">
        <v>4</v>
      </c>
      <c r="E26">
        <v>5</v>
      </c>
      <c r="F26">
        <v>4</v>
      </c>
      <c r="G26">
        <v>4</v>
      </c>
      <c r="H26">
        <v>5</v>
      </c>
      <c r="I26">
        <v>3</v>
      </c>
      <c r="J26">
        <v>2</v>
      </c>
      <c r="K26">
        <v>4</v>
      </c>
      <c r="L26">
        <v>5</v>
      </c>
      <c r="M26">
        <v>5</v>
      </c>
      <c r="N26">
        <v>3</v>
      </c>
      <c r="O26">
        <v>2</v>
      </c>
      <c r="P26">
        <v>5</v>
      </c>
      <c r="Q26">
        <v>3</v>
      </c>
      <c r="R26">
        <v>4</v>
      </c>
      <c r="S26">
        <v>3</v>
      </c>
      <c r="T26">
        <v>4</v>
      </c>
      <c r="U26">
        <f>SUM(B26:T26)/19</f>
        <v>3.6842105263157894</v>
      </c>
      <c r="V26">
        <f>MEDIAN(B26:T26)</f>
        <v>4</v>
      </c>
      <c r="W26">
        <f>_xlfn.MODE.SNGL(B26:T26)</f>
        <v>4</v>
      </c>
    </row>
    <row r="27" spans="1:23" x14ac:dyDescent="0.25">
      <c r="A27" s="2" t="s">
        <v>45</v>
      </c>
      <c r="B27">
        <f>MEDIAN(B25:B26)</f>
        <v>2.5</v>
      </c>
      <c r="C27">
        <f t="shared" ref="C27:T27" si="10">MEDIAN(C25:C26)</f>
        <v>2.5</v>
      </c>
      <c r="D27">
        <f t="shared" si="10"/>
        <v>3.5</v>
      </c>
      <c r="E27">
        <f t="shared" si="10"/>
        <v>4.5</v>
      </c>
      <c r="F27">
        <f t="shared" si="10"/>
        <v>4</v>
      </c>
      <c r="G27">
        <f t="shared" si="10"/>
        <v>4</v>
      </c>
      <c r="H27">
        <f t="shared" si="10"/>
        <v>5</v>
      </c>
      <c r="I27">
        <f t="shared" si="10"/>
        <v>3</v>
      </c>
      <c r="J27">
        <f t="shared" si="10"/>
        <v>1.5</v>
      </c>
      <c r="K27">
        <f t="shared" si="10"/>
        <v>4</v>
      </c>
      <c r="L27">
        <f t="shared" si="10"/>
        <v>5</v>
      </c>
      <c r="M27">
        <f t="shared" si="10"/>
        <v>5</v>
      </c>
      <c r="N27">
        <f t="shared" si="10"/>
        <v>3</v>
      </c>
      <c r="O27">
        <f t="shared" si="10"/>
        <v>2</v>
      </c>
      <c r="P27">
        <f t="shared" si="10"/>
        <v>5</v>
      </c>
      <c r="Q27">
        <f t="shared" si="10"/>
        <v>4</v>
      </c>
      <c r="R27">
        <f t="shared" si="10"/>
        <v>4</v>
      </c>
      <c r="S27">
        <f t="shared" si="10"/>
        <v>3</v>
      </c>
      <c r="T27">
        <f t="shared" si="10"/>
        <v>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Alonso Valdesueiro</dc:creator>
  <cp:lastModifiedBy>Javier Alonso Valdesueiro</cp:lastModifiedBy>
  <dcterms:created xsi:type="dcterms:W3CDTF">2015-06-05T18:17:20Z</dcterms:created>
  <dcterms:modified xsi:type="dcterms:W3CDTF">2026-06-29T07:40:32Z</dcterms:modified>
</cp:coreProperties>
</file>